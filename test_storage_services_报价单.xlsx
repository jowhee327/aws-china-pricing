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1F4E79"/>
      <sz val="11"/>
    </font>
    <font>
      <name val="微软雅黑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3" fontId="5" fillId="3" borderId="1" applyAlignment="1" pivotButton="0" quotePrefix="0" xfId="0">
      <alignment vertical="center"/>
    </xf>
    <xf numFmtId="4" fontId="5" fillId="3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16" customWidth="1" min="4" max="4"/>
    <col width="8" customWidth="1" min="5" max="5"/>
    <col width="10" customWidth="1" min="6" max="6"/>
    <col width="25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20" customWidth="1" min="13" max="13"/>
    <col width="25" customWidth="1" min="14" max="14"/>
  </cols>
  <sheetData>
    <row r="1" ht="40" customHeight="1">
      <c r="A1" s="1" t="inlineStr">
        <is>
          <t>AWS 中国区云服务报价单</t>
        </is>
      </c>
    </row>
    <row r="3">
      <c r="A3" s="2" t="inlineStr">
        <is>
          <t>报价编号:</t>
        </is>
      </c>
      <c r="B3" s="3" t="inlineStr">
        <is>
          <t>AWS-CN-20260408-0000</t>
        </is>
      </c>
      <c r="E3" s="2" t="inlineStr">
        <is>
          <t>客户名称:</t>
        </is>
      </c>
      <c r="F3" s="3" t="inlineStr"/>
    </row>
    <row r="4">
      <c r="A4" s="2" t="inlineStr">
        <is>
          <t>报价日期:</t>
        </is>
      </c>
      <c r="B4" s="3" t="inlineStr">
        <is>
          <t>2026-04-08</t>
        </is>
      </c>
      <c r="E4" s="2" t="inlineStr">
        <is>
          <t>货币:</t>
        </is>
      </c>
      <c r="F4" s="3" t="inlineStr">
        <is>
          <t>CNY (人民币)</t>
        </is>
      </c>
    </row>
    <row r="5">
      <c r="A5" s="2" t="inlineStr">
        <is>
          <t>税费说明:</t>
        </is>
      </c>
      <c r="B5" s="3" t="inlineStr">
        <is>
          <t>不含税</t>
        </is>
      </c>
      <c r="E5" s="2" t="inlineStr">
        <is>
          <t>EDP 折扣:</t>
        </is>
      </c>
      <c r="F5" s="3" t="inlineStr">
        <is>
          <t>无</t>
        </is>
      </c>
    </row>
    <row r="7" ht="30" customHeight="1">
      <c r="A7" s="4" t="inlineStr">
        <is>
          <t>序号</t>
        </is>
      </c>
      <c r="B7" s="4" t="inlineStr">
        <is>
          <t>服务</t>
        </is>
      </c>
      <c r="C7" s="4" t="inlineStr">
        <is>
          <t>实例类型</t>
        </is>
      </c>
      <c r="D7" s="4" t="inlineStr">
        <is>
          <t>区域</t>
        </is>
      </c>
      <c r="E7" s="4" t="inlineStr">
        <is>
          <t>数量</t>
        </is>
      </c>
      <c r="F7" s="4" t="inlineStr">
        <is>
          <t>使用量</t>
        </is>
      </c>
      <c r="G7" s="4" t="inlineStr">
        <is>
          <t>计费模式</t>
        </is>
      </c>
      <c r="H7" s="4" t="inlineStr">
        <is>
          <t>单价(CNY)</t>
        </is>
      </c>
      <c r="I7" s="4" t="inlineStr">
        <is>
          <t>月费/台(CNY)</t>
        </is>
      </c>
      <c r="J7" s="4" t="inlineStr">
        <is>
          <t>月费合计(CNY)</t>
        </is>
      </c>
      <c r="K7" s="4" t="inlineStr">
        <is>
          <t>年费合计(CNY)</t>
        </is>
      </c>
      <c r="L7" s="4" t="inlineStr">
        <is>
          <t>预付金额(CNY)</t>
        </is>
      </c>
      <c r="M7" s="4" t="inlineStr">
        <is>
          <t>备注</t>
        </is>
      </c>
      <c r="N7" s="4" t="inlineStr">
        <is>
          <t>原始需求</t>
        </is>
      </c>
    </row>
    <row r="8">
      <c r="A8" s="5" t="n">
        <v>1</v>
      </c>
      <c r="B8" s="5" t="inlineStr">
        <is>
          <t>EBS</t>
        </is>
      </c>
      <c r="C8" s="5" t="inlineStr">
        <is>
          <t>通用SSD gp3 100GB</t>
        </is>
      </c>
      <c r="D8" s="5" t="inlineStr">
        <is>
          <t>北京 (cn-north-1)</t>
        </is>
      </c>
      <c r="E8" s="6" t="n">
        <v>1</v>
      </c>
      <c r="F8" s="6" t="n">
        <v>0</v>
      </c>
      <c r="G8" s="5" t="inlineStr">
        <is>
          <t>按需</t>
        </is>
      </c>
      <c r="H8" s="5" t="n">
        <v>0</v>
      </c>
      <c r="I8" s="7">
        <f>H8*F8</f>
        <v/>
      </c>
      <c r="J8" s="7">
        <f>I8*E8</f>
        <v/>
      </c>
      <c r="K8" s="7">
        <f>J8*12</f>
        <v/>
      </c>
      <c r="L8" s="7" t="n">
        <v>0</v>
      </c>
      <c r="M8" s="5" t="inlineStr">
        <is>
          <t>云盘存储</t>
        </is>
      </c>
      <c r="N8" s="5" t="inlineStr">
        <is>
          <t>AmazonEBS 通用SSD gp3 100GB</t>
        </is>
      </c>
    </row>
    <row r="9">
      <c r="A9" s="5" t="n">
        <v>2</v>
      </c>
      <c r="B9" s="5" t="inlineStr">
        <is>
          <t>S3</t>
        </is>
      </c>
      <c r="C9" s="5" t="inlineStr">
        <is>
          <t>标准存储 500GB</t>
        </is>
      </c>
      <c r="D9" s="5" t="inlineStr">
        <is>
          <t>北京 (cn-north-1)</t>
        </is>
      </c>
      <c r="E9" s="6" t="n">
        <v>1</v>
      </c>
      <c r="F9" s="6" t="n">
        <v>0</v>
      </c>
      <c r="G9" s="5" t="inlineStr">
        <is>
          <t>按需</t>
        </is>
      </c>
      <c r="H9" s="5" t="n">
        <v>0</v>
      </c>
      <c r="I9" s="7">
        <f>H9*F9</f>
        <v/>
      </c>
      <c r="J9" s="7">
        <f>I9*E9</f>
        <v/>
      </c>
      <c r="K9" s="7">
        <f>J9*12</f>
        <v/>
      </c>
      <c r="L9" s="7" t="n">
        <v>0</v>
      </c>
      <c r="M9" s="5" t="inlineStr">
        <is>
          <t>对象存储</t>
        </is>
      </c>
      <c r="N9" s="5" t="inlineStr">
        <is>
          <t>AmazonS3 标准存储 500GB</t>
        </is>
      </c>
    </row>
    <row r="10">
      <c r="A10" s="5" t="n">
        <v>3</v>
      </c>
      <c r="B10" s="5" t="inlineStr">
        <is>
          <t>EFS</t>
        </is>
      </c>
      <c r="C10" s="5" t="inlineStr">
        <is>
          <t>1TB</t>
        </is>
      </c>
      <c r="D10" s="5" t="inlineStr">
        <is>
          <t>北京 (cn-north-1)</t>
        </is>
      </c>
      <c r="E10" s="6" t="n">
        <v>1</v>
      </c>
      <c r="F10" s="6" t="n">
        <v>0</v>
      </c>
      <c r="G10" s="5" t="inlineStr">
        <is>
          <t>按需</t>
        </is>
      </c>
      <c r="H10" s="5" t="n">
        <v>0</v>
      </c>
      <c r="I10" s="7">
        <f>H10*F10</f>
        <v/>
      </c>
      <c r="J10" s="7">
        <f>I10*E10</f>
        <v/>
      </c>
      <c r="K10" s="7">
        <f>J10*12</f>
        <v/>
      </c>
      <c r="L10" s="7" t="n">
        <v>0</v>
      </c>
      <c r="M10" s="5" t="inlineStr">
        <is>
          <t>文件存储</t>
        </is>
      </c>
      <c r="N10" s="5" t="inlineStr">
        <is>
          <t>AmazonEFS 1TB</t>
        </is>
      </c>
    </row>
    <row r="11">
      <c r="A11" s="5" t="n">
        <v>4</v>
      </c>
      <c r="B11" s="5" t="inlineStr">
        <is>
          <t>FSx</t>
        </is>
      </c>
      <c r="C11" s="5" t="inlineStr">
        <is>
          <t>Lustre 2TB</t>
        </is>
      </c>
      <c r="D11" s="5" t="inlineStr">
        <is>
          <t>北京 (cn-north-1)</t>
        </is>
      </c>
      <c r="E11" s="6" t="n">
        <v>1</v>
      </c>
      <c r="F11" s="6" t="n">
        <v>0</v>
      </c>
      <c r="G11" s="5" t="inlineStr">
        <is>
          <t>按需</t>
        </is>
      </c>
      <c r="H11" s="5" t="n">
        <v>0</v>
      </c>
      <c r="I11" s="7">
        <f>H11*F11</f>
        <v/>
      </c>
      <c r="J11" s="7">
        <f>I11*E11</f>
        <v/>
      </c>
      <c r="K11" s="7">
        <f>J11*12</f>
        <v/>
      </c>
      <c r="L11" s="7" t="n">
        <v>0</v>
      </c>
      <c r="M11" s="5" t="inlineStr">
        <is>
          <t>高性能文件系统</t>
        </is>
      </c>
      <c r="N11" s="5" t="inlineStr">
        <is>
          <t>AmazonFSx Lustre 2TB</t>
        </is>
      </c>
    </row>
    <row r="12">
      <c r="A12" s="5" t="n">
        <v>5</v>
      </c>
      <c r="B12" s="5" t="inlineStr">
        <is>
          <t>Glacier</t>
        </is>
      </c>
      <c r="C12" s="5" t="inlineStr">
        <is>
          <t>深度归档 10TB</t>
        </is>
      </c>
      <c r="D12" s="5" t="inlineStr">
        <is>
          <t>北京 (cn-north-1)</t>
        </is>
      </c>
      <c r="E12" s="6" t="n">
        <v>1</v>
      </c>
      <c r="F12" s="6" t="n">
        <v>0</v>
      </c>
      <c r="G12" s="5" t="inlineStr">
        <is>
          <t>按需</t>
        </is>
      </c>
      <c r="H12" s="5" t="n">
        <v>0</v>
      </c>
      <c r="I12" s="7">
        <f>H12*F12</f>
        <v/>
      </c>
      <c r="J12" s="7">
        <f>I12*E12</f>
        <v/>
      </c>
      <c r="K12" s="7">
        <f>J12*12</f>
        <v/>
      </c>
      <c r="L12" s="7" t="n">
        <v>0</v>
      </c>
      <c r="M12" s="5" t="inlineStr">
        <is>
          <t>长期归档存储</t>
        </is>
      </c>
      <c r="N12" s="5" t="inlineStr">
        <is>
          <t>AmazonGlacier 深度归档 10TB</t>
        </is>
      </c>
    </row>
    <row r="13">
      <c r="A13" s="5" t="n">
        <v>6</v>
      </c>
      <c r="B13" s="5" t="inlineStr">
        <is>
          <t>S3</t>
        </is>
      </c>
      <c r="C13" s="5" t="inlineStr">
        <is>
          <t>智能分层 1TB</t>
        </is>
      </c>
      <c r="D13" s="5" t="inlineStr">
        <is>
          <t>北京 (cn-north-1)</t>
        </is>
      </c>
      <c r="E13" s="6" t="n">
        <v>1</v>
      </c>
      <c r="F13" s="6" t="n">
        <v>0</v>
      </c>
      <c r="G13" s="5" t="inlineStr">
        <is>
          <t>按需</t>
        </is>
      </c>
      <c r="H13" s="5" t="n">
        <v>0</v>
      </c>
      <c r="I13" s="7">
        <f>H13*F13</f>
        <v/>
      </c>
      <c r="J13" s="7">
        <f>I13*E13</f>
        <v/>
      </c>
      <c r="K13" s="7">
        <f>J13*12</f>
        <v/>
      </c>
      <c r="L13" s="7" t="n">
        <v>0</v>
      </c>
      <c r="M13" s="5" t="inlineStr">
        <is>
          <t>自动优化存储成本</t>
        </is>
      </c>
      <c r="N13" s="5" t="inlineStr">
        <is>
          <t>AmazonS3 智能分层 1TB</t>
        </is>
      </c>
    </row>
    <row r="14">
      <c r="A14" s="8" t="inlineStr"/>
      <c r="B14" s="8" t="inlineStr">
        <is>
          <t>合计</t>
        </is>
      </c>
      <c r="C14" s="8" t="inlineStr"/>
      <c r="D14" s="8" t="inlineStr"/>
      <c r="E14" s="9" t="inlineStr"/>
      <c r="F14" s="9" t="inlineStr"/>
      <c r="G14" s="8" t="inlineStr"/>
      <c r="H14" s="8" t="inlineStr"/>
      <c r="I14" s="10" t="inlineStr"/>
      <c r="J14" s="10">
        <f>SUM(J8:J13)</f>
        <v/>
      </c>
      <c r="K14" s="10">
        <f>SUM(K8:K13)</f>
        <v/>
      </c>
      <c r="L14" s="10">
        <f>SUM(L8:L13)</f>
        <v/>
      </c>
      <c r="M14" s="8" t="inlineStr"/>
      <c r="N14" s="8" t="inlineStr"/>
    </row>
    <row r="16">
      <c r="A16" s="11" t="inlineStr">
        <is>
          <t>说明:</t>
        </is>
      </c>
    </row>
    <row r="17">
      <c r="A17" s="11" t="inlineStr">
        <is>
          <t>1. 以上报价基于 AWS 中国区公开定价（list price），实际费用以 AWS 账单为准。</t>
        </is>
      </c>
    </row>
    <row r="18">
      <c r="A18" s="11" t="inlineStr">
        <is>
          <t>2. 数据传输费、请求费等额外费用未包含在实例费用中，请另行计算。</t>
        </is>
      </c>
    </row>
    <row r="19">
      <c r="A19" s="11" t="inlineStr">
        <is>
          <t>3. 以上价格不含 6% 增值税。</t>
        </is>
      </c>
    </row>
  </sheetData>
  <mergeCells count="11">
    <mergeCell ref="F3:G3"/>
    <mergeCell ref="F4:G4"/>
    <mergeCell ref="A17:N17"/>
    <mergeCell ref="A18:N18"/>
    <mergeCell ref="B3:C3"/>
    <mergeCell ref="B5:C5"/>
    <mergeCell ref="F5:G5"/>
    <mergeCell ref="A16:N16"/>
    <mergeCell ref="A19:N19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2026-04-08T17:12:32Z</dcterms:created>
  <dcterms:modified xmlns:dcterms="http://purl.org/dc/terms/" xmlns:xsi="http://www.w3.org/2001/XMLSchema-instance" xsi:type="dcterms:W3CDTF">2026-04-08T17:12:32Z</dcterms:modified>
</cp:coreProperties>
</file>